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徐瑞廷\科研相关\论文撰写\新型阻抗判据研究\Simplus-Grid-Tool-2025（V5_5，各种case）\fIMR_case\marginal cases\"/>
    </mc:Choice>
  </mc:AlternateContent>
  <xr:revisionPtr revIDLastSave="0" documentId="13_ncr:1_{8C21DF94-BD19-4AB9-9D26-CFA0145A7A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G15" i="1"/>
  <c r="G8" i="1"/>
  <c r="F14" i="1"/>
  <c r="G13" i="1"/>
  <c r="G14" i="1"/>
  <c r="G16" i="1"/>
  <c r="G11" i="1"/>
  <c r="B2" i="4" l="1"/>
  <c r="E11" i="5"/>
  <c r="E10" i="5"/>
  <c r="E9" i="5"/>
  <c r="E8" i="5"/>
  <c r="E7" i="5"/>
  <c r="E6" i="5"/>
  <c r="H16" i="1"/>
  <c r="H15" i="1"/>
  <c r="H14" i="1"/>
  <c r="H13" i="1"/>
  <c r="H12" i="1"/>
  <c r="G12" i="1"/>
  <c r="H11" i="1"/>
  <c r="F10" i="1"/>
  <c r="H8" i="1"/>
  <c r="F8" i="1"/>
  <c r="H7" i="1"/>
  <c r="G7" i="1"/>
  <c r="H6" i="1"/>
  <c r="G6" i="1"/>
  <c r="H5" i="1"/>
  <c r="G5" i="1"/>
  <c r="F5" i="1"/>
  <c r="H4" i="1"/>
  <c r="G4" i="1"/>
  <c r="F4" i="1"/>
</calcChain>
</file>

<file path=xl/sharedStrings.xml><?xml version="1.0" encoding="utf-8"?>
<sst xmlns="http://schemas.openxmlformats.org/spreadsheetml/2006/main" count="134" uniqueCount="125">
  <si>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</si>
  <si>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</si>
  <si>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</si>
  <si>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</si>
  <si>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</si>
  <si>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</si>
  <si>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</si>
  <si>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</si>
  <si>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</si>
  <si>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</si>
  <si>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</si>
  <si>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</si>
  <si>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</si>
  <si>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</si>
  <si>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</si>
  <si>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</si>
  <si>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</si>
  <si>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</si>
  <si>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</si>
  <si>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</si>
  <si>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</si>
  <si>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</si>
  <si>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</si>
  <si>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</si>
  <si>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</si>
  <si>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</si>
  <si>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</si>
  <si>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</si>
  <si>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</si>
  <si>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</si>
  <si>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</si>
  <si>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</si>
  <si>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</si>
  <si>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</si>
  <si>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</si>
  <si>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</si>
  <si>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</si>
  <si>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</si>
  <si>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</si>
  <si>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</si>
  <si>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</si>
  <si>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</si>
  <si>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</si>
  <si>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</si>
  <si>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</si>
  <si>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This sheet summarizes the apparatuses connected to buses.</t>
    <phoneticPr fontId="1" type="noConversion"/>
  </si>
  <si>
    <t>inf</t>
  </si>
  <si>
    <t>%===============================</t>
    <phoneticPr fontId="1" type="noConversion"/>
  </si>
  <si>
    <t>% 0000-0100: AC device</t>
    <phoneticPr fontId="1" type="noConversion"/>
  </si>
  <si>
    <t>0-9: Synchronous generator</t>
  </si>
  <si>
    <t>10-19: Grid-following inverter</t>
    <phoneticPr fontId="1" type="noConversion"/>
  </si>
  <si>
    <t>20-29: Grid-forming inverter</t>
    <phoneticPr fontId="1" type="noConversion"/>
  </si>
  <si>
    <t>30-39: Detailed Synchronous machine</t>
  </si>
  <si>
    <t>40-49: Cyprus Synchronous machine</t>
  </si>
  <si>
    <t>90: AC infinite bus (short circuit in small-signal)</t>
    <phoneticPr fontId="1" type="noConversion"/>
  </si>
  <si>
    <t>100: AC floating bus (open circuit)</t>
  </si>
  <si>
    <t>10, 11, 17:</t>
  </si>
  <si>
    <t>20: VSG</t>
  </si>
  <si>
    <t>33: govenor</t>
  </si>
  <si>
    <t>19: xx</t>
  </si>
  <si>
    <t>28: Old type</t>
  </si>
  <si>
    <t>35: AVR, PSS, GOV</t>
  </si>
  <si>
    <t>18: simplified current loop</t>
  </si>
  <si>
    <t>EXCITER</t>
  </si>
  <si>
    <t>PSS</t>
  </si>
  <si>
    <t>SM</t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</si>
  <si>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</si>
  <si>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</si>
  <si>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</si>
  <si>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</si>
  <si>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</si>
  <si>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</si>
  <si>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</si>
  <si>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</si>
  <si>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</si>
  <si>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</si>
  <si>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</si>
  <si>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</si>
  <si>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H</t>
  </si>
  <si>
    <t>D</t>
  </si>
  <si>
    <t>input filter time constant T_R</t>
  </si>
  <si>
    <t>voltage regulator gain K_A</t>
  </si>
  <si>
    <t>voltage regulator time constant T_A</t>
  </si>
  <si>
    <t>maximum voltage regulator output V_Rmax</t>
  </si>
  <si>
    <t>minimum voltage regulator output V_Rmin</t>
  </si>
  <si>
    <t>exciter constant K_E</t>
  </si>
  <si>
    <t>exciter time constant T_E</t>
  </si>
  <si>
    <t>E_1</t>
  </si>
  <si>
    <t>S(E_1)</t>
  </si>
  <si>
    <t>E_2</t>
  </si>
  <si>
    <t>S(E_2)</t>
  </si>
  <si>
    <t>stabilizer gain K_F</t>
  </si>
  <si>
    <t>stabilizer time constant T_F</t>
  </si>
  <si>
    <t>K_P</t>
  </si>
  <si>
    <t>K_I</t>
  </si>
  <si>
    <t>K_D</t>
  </si>
  <si>
    <t>T_D</t>
  </si>
  <si>
    <t>KPSS</t>
  </si>
  <si>
    <t>TW</t>
  </si>
  <si>
    <t>T11</t>
  </si>
  <si>
    <t>T12</t>
  </si>
  <si>
    <t>T21</t>
  </si>
  <si>
    <t>T22</t>
  </si>
  <si>
    <t>T31</t>
  </si>
  <si>
    <t>T32</t>
  </si>
  <si>
    <t>VSSmax</t>
  </si>
  <si>
    <t>VSSmin</t>
  </si>
  <si>
    <t>GFM</t>
  </si>
  <si>
    <t>wLf</t>
  </si>
  <si>
    <t>Rf</t>
  </si>
  <si>
    <t>wCf</t>
  </si>
  <si>
    <t>wLc</t>
  </si>
  <si>
    <t>Rc</t>
  </si>
  <si>
    <t>Xov</t>
  </si>
  <si>
    <t>Dw</t>
  </si>
  <si>
    <t>fdroop</t>
  </si>
  <si>
    <t>fvdq</t>
  </si>
  <si>
    <t>fidq</t>
  </si>
  <si>
    <t>Sbase</t>
  </si>
  <si>
    <t>GFL</t>
  </si>
  <si>
    <t>V_dc</t>
  </si>
  <si>
    <t>C_dc</t>
  </si>
  <si>
    <t>f_v_dc</t>
  </si>
  <si>
    <t>f_pll</t>
  </si>
  <si>
    <t>f_i_dq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</si>
</sst>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7" fillId="0" borderId="0" xfId="0" applyFont="1"/>
    <xf numFmtId="20" fontId="0" fillId="0" borderId="0" xfId="0" applyNumberFormat="1"/>
    <xf numFmtId="0" fontId="0" fillId="2" borderId="0" xfId="0" applyFill="1"/>
    <xf numFmtId="0" fontId="8" fillId="2" borderId="0" xfId="0" applyFont="1" applyFill="1"/>
    <xf numFmtId="0" fontId="6" fillId="2" borderId="0" xfId="0" applyFont="1" applyFill="1"/>
    <xf numFmtId="0" fontId="9" fillId="2" borderId="0" xfId="0" applyFont="1" applyFill="1"/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165" fontId="10" fillId="3" borderId="0" xfId="0" applyNumberFormat="1" applyFont="1" applyFill="1"/>
    <xf numFmtId="0" fontId="10" fillId="3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11" fillId="2" borderId="0" xfId="0" applyFont="1" applyFill="1" applyAlignment="1">
      <alignment vertical="center" wrapText="1"/>
    </xf>
    <xf numFmtId="165" fontId="6" fillId="0" borderId="0" xfId="0" applyNumberFormat="1" applyFont="1"/>
    <xf numFmtId="165" fontId="0" fillId="0" borderId="0" xfId="0" applyNumberFormat="1"/>
    <xf numFmtId="0" fontId="12" fillId="4" borderId="0" xfId="0" applyFont="1" applyFill="1" applyAlignment="1">
      <alignment vertical="center" wrapText="1"/>
    </xf>
    <xf numFmtId="165" fontId="10" fillId="4" borderId="0" xfId="0" applyNumberFormat="1" applyFont="1" applyFill="1"/>
    <xf numFmtId="0" fontId="11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="115" zoomScaleNormal="115" workbookViewId="0">
      <selection activeCell="E4" sqref="E4"/>
    </sheetView>
  </sheetViews>
  <sheetFormatPr defaultRowHeight="15"/>
  <cols>
    <col min="4" max="4" width="11.140625" customWidth="1"/>
    <col min="9" max="9" width="10.85546875" customWidth="1"/>
    <col min="10" max="10" width="11.140625" customWidth="1"/>
  </cols>
  <sheetData>
    <row r="1" spans="1:12">
      <c r="A1" s="4" t="s">
        <v>5</v>
      </c>
    </row>
    <row r="2" spans="1:12">
      <c r="A2" s="3" t="s">
        <v>31</v>
      </c>
      <c r="B2" s="3" t="s">
        <v>32</v>
      </c>
      <c r="C2" s="3" t="s">
        <v>17</v>
      </c>
      <c r="D2" s="3" t="s">
        <v>36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43</v>
      </c>
      <c r="L2" s="3" t="s">
        <v>44</v>
      </c>
    </row>
    <row r="3" spans="1:12">
      <c r="A3" s="6">
        <v>1</v>
      </c>
      <c r="B3">
        <v>1</v>
      </c>
      <c r="C3">
        <v>1.06</v>
      </c>
      <c r="D3">
        <v>0</v>
      </c>
      <c r="E3">
        <v>0</v>
      </c>
      <c r="F3">
        <v>0</v>
      </c>
      <c r="G3">
        <v>0</v>
      </c>
      <c r="H3">
        <v>0</v>
      </c>
      <c r="I3" s="7">
        <v>-999</v>
      </c>
      <c r="J3" s="7">
        <v>999</v>
      </c>
      <c r="K3">
        <v>1</v>
      </c>
      <c r="L3">
        <v>1</v>
      </c>
    </row>
    <row r="4" spans="1:12">
      <c r="A4" s="6">
        <v>2</v>
      </c>
      <c r="B4">
        <v>2</v>
      </c>
      <c r="C4">
        <v>1.0449999999999999</v>
      </c>
      <c r="D4">
        <v>0</v>
      </c>
      <c r="E4">
        <f>40/100</f>
        <v>0.4</v>
      </c>
      <c r="F4">
        <f>42.4/100</f>
        <v>0.42399999999999999</v>
      </c>
      <c r="G4">
        <f>21.7/100</f>
        <v>0.217</v>
      </c>
      <c r="H4">
        <f>12.7/100</f>
        <v>0.127</v>
      </c>
      <c r="I4" s="7">
        <v>-999</v>
      </c>
      <c r="J4" s="7">
        <v>999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0.6</v>
      </c>
      <c r="F5">
        <f>23.4/100</f>
        <v>0.23399999999999999</v>
      </c>
      <c r="G5">
        <f>94.2/100</f>
        <v>0.94200000000000006</v>
      </c>
      <c r="H5">
        <f>19/100</f>
        <v>0.19</v>
      </c>
      <c r="I5" s="7">
        <v>-999</v>
      </c>
      <c r="J5" s="7">
        <v>999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</f>
        <v>0.47799999999999998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</f>
        <v>7.5999999999999998E-2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2</v>
      </c>
      <c r="C8">
        <v>1.07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 s="7">
        <v>-999</v>
      </c>
      <c r="J8" s="7">
        <v>999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1.0900000000000001</v>
      </c>
      <c r="D10">
        <v>0</v>
      </c>
      <c r="E10">
        <v>0.3</v>
      </c>
      <c r="F10">
        <f>17.4/100</f>
        <v>0.17399999999999999</v>
      </c>
      <c r="G10">
        <v>0</v>
      </c>
      <c r="H10">
        <v>0</v>
      </c>
      <c r="I10" s="7">
        <v>-999</v>
      </c>
      <c r="J10" s="7">
        <v>999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49.5/100</f>
        <v>0.495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>
        <v>10</v>
      </c>
      <c r="B12">
        <v>3</v>
      </c>
      <c r="C12">
        <v>1</v>
      </c>
      <c r="D12">
        <v>0</v>
      </c>
      <c r="E12">
        <v>0</v>
      </c>
      <c r="F12">
        <v>0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23.5/100</f>
        <v>0.23499999999999999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0.3</v>
      </c>
      <c r="F14">
        <f>7.4/100</f>
        <v>7.400000000000001E-2</v>
      </c>
      <c r="G14">
        <f>26.1/100</f>
        <v>0.26100000000000001</v>
      </c>
      <c r="H14">
        <f>1.6/100</f>
        <v>1.6E-2</v>
      </c>
      <c r="I14" s="7">
        <v>-999</v>
      </c>
      <c r="J14" s="7">
        <v>999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53.5/100</f>
        <v>0.53500000000000003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34.9/100</f>
        <v>0.34899999999999998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G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Q27"/>
  <sheetViews>
    <sheetView tabSelected="1" topLeftCell="A10" zoomScaleNormal="100" workbookViewId="0">
      <selection activeCell="I29" sqref="I29"/>
    </sheetView>
  </sheetViews>
  <sheetFormatPr defaultRowHeight="15"/>
  <cols>
    <col min="1" max="1" width="12.85546875" customWidth="1"/>
    <col min="2" max="17" width="10.7109375" customWidth="1"/>
  </cols>
  <sheetData>
    <row r="1" spans="1:43">
      <c r="A1" s="3" t="s">
        <v>45</v>
      </c>
    </row>
    <row r="3" spans="1:43">
      <c r="B3" s="8" t="s">
        <v>47</v>
      </c>
      <c r="C3" s="3"/>
    </row>
    <row r="4" spans="1:43">
      <c r="B4" s="8" t="s">
        <v>48</v>
      </c>
      <c r="C4" s="3"/>
    </row>
    <row r="5" spans="1:43">
      <c r="B5" s="8" t="s">
        <v>47</v>
      </c>
      <c r="C5" s="3"/>
    </row>
    <row r="6" spans="1:43">
      <c r="B6" s="3" t="s">
        <v>49</v>
      </c>
      <c r="D6" s="3" t="s">
        <v>50</v>
      </c>
      <c r="G6" s="3" t="s">
        <v>51</v>
      </c>
      <c r="J6" s="3" t="s">
        <v>52</v>
      </c>
      <c r="N6" s="3" t="s">
        <v>53</v>
      </c>
      <c r="R6" s="3" t="s">
        <v>54</v>
      </c>
      <c r="V6" s="3" t="s">
        <v>55</v>
      </c>
    </row>
    <row r="7" spans="1:43">
      <c r="D7" t="s">
        <v>56</v>
      </c>
      <c r="G7" s="9" t="s">
        <v>57</v>
      </c>
      <c r="J7" t="s">
        <v>58</v>
      </c>
    </row>
    <row r="8" spans="1:43">
      <c r="B8" s="10"/>
      <c r="D8" s="10" t="s">
        <v>59</v>
      </c>
      <c r="G8" t="s">
        <v>60</v>
      </c>
      <c r="J8" s="5" t="s">
        <v>61</v>
      </c>
      <c r="N8" s="5"/>
      <c r="R8" s="5"/>
    </row>
    <row r="9" spans="1:43">
      <c r="D9" t="s">
        <v>62</v>
      </c>
    </row>
    <row r="10" spans="1:43">
      <c r="A10" s="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 t="s">
        <v>63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 t="s">
        <v>64</v>
      </c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ht="90">
      <c r="A11" s="15"/>
      <c r="B11" s="14" t="s">
        <v>65</v>
      </c>
      <c r="C11" s="16" t="s">
        <v>66</v>
      </c>
      <c r="D11" s="16" t="s">
        <v>67</v>
      </c>
      <c r="E11" s="16" t="s">
        <v>68</v>
      </c>
      <c r="F11" s="16" t="s">
        <v>69</v>
      </c>
      <c r="G11" s="16" t="s">
        <v>70</v>
      </c>
      <c r="H11" s="16" t="s">
        <v>71</v>
      </c>
      <c r="I11" s="16" t="s">
        <v>72</v>
      </c>
      <c r="J11" s="16" t="s">
        <v>73</v>
      </c>
      <c r="K11" s="16" t="s">
        <v>74</v>
      </c>
      <c r="L11" s="16" t="s">
        <v>75</v>
      </c>
      <c r="M11" s="16" t="s">
        <v>76</v>
      </c>
      <c r="N11" s="16" t="s">
        <v>77</v>
      </c>
      <c r="O11" s="16" t="s">
        <v>78</v>
      </c>
      <c r="P11" s="16" t="s">
        <v>79</v>
      </c>
      <c r="Q11" s="16" t="s">
        <v>80</v>
      </c>
      <c r="R11" s="16" t="s">
        <v>81</v>
      </c>
      <c r="S11" s="16" t="s">
        <v>82</v>
      </c>
      <c r="T11" s="16" t="s">
        <v>83</v>
      </c>
      <c r="U11" s="16" t="s">
        <v>84</v>
      </c>
      <c r="V11" s="16" t="s">
        <v>85</v>
      </c>
      <c r="W11" s="16" t="s">
        <v>86</v>
      </c>
      <c r="X11" s="16" t="s">
        <v>87</v>
      </c>
      <c r="Y11" s="16" t="s">
        <v>88</v>
      </c>
      <c r="Z11" s="16" t="s">
        <v>89</v>
      </c>
      <c r="AA11" s="16" t="s">
        <v>90</v>
      </c>
      <c r="AB11" s="16" t="s">
        <v>91</v>
      </c>
      <c r="AC11" s="16" t="s">
        <v>92</v>
      </c>
      <c r="AD11" s="16" t="s">
        <v>93</v>
      </c>
      <c r="AE11" s="16" t="s">
        <v>94</v>
      </c>
      <c r="AF11" s="16" t="s">
        <v>95</v>
      </c>
      <c r="AG11" s="16" t="s">
        <v>96</v>
      </c>
      <c r="AH11" s="16" t="s">
        <v>97</v>
      </c>
      <c r="AI11" s="16" t="s">
        <v>98</v>
      </c>
      <c r="AJ11" s="16" t="s">
        <v>99</v>
      </c>
      <c r="AK11" s="16" t="s">
        <v>100</v>
      </c>
      <c r="AL11" s="16" t="s">
        <v>101</v>
      </c>
      <c r="AM11" s="16" t="s">
        <v>102</v>
      </c>
      <c r="AN11" s="16" t="s">
        <v>103</v>
      </c>
      <c r="AO11" s="16" t="s">
        <v>104</v>
      </c>
      <c r="AP11" s="16" t="s">
        <v>105</v>
      </c>
      <c r="AQ11" s="16" t="s">
        <v>106</v>
      </c>
    </row>
    <row r="12" spans="1:43">
      <c r="A12" s="15"/>
      <c r="B12" s="17" t="s">
        <v>107</v>
      </c>
      <c r="C12" s="18" t="s">
        <v>108</v>
      </c>
      <c r="D12" s="19" t="s">
        <v>109</v>
      </c>
      <c r="E12" s="18" t="s">
        <v>110</v>
      </c>
      <c r="F12" s="18" t="s">
        <v>111</v>
      </c>
      <c r="G12" s="20" t="s">
        <v>112</v>
      </c>
      <c r="H12" s="18" t="s">
        <v>113</v>
      </c>
      <c r="I12" s="18" t="s">
        <v>114</v>
      </c>
      <c r="J12" s="18" t="s">
        <v>115</v>
      </c>
      <c r="K12" s="18" t="s">
        <v>116</v>
      </c>
      <c r="L12" s="18" t="s">
        <v>117</v>
      </c>
      <c r="M12" s="17" t="s">
        <v>118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 spans="1:43">
      <c r="A13" s="15"/>
      <c r="B13" s="22" t="s">
        <v>119</v>
      </c>
      <c r="C13" s="23" t="s">
        <v>120</v>
      </c>
      <c r="D13" s="23" t="s">
        <v>121</v>
      </c>
      <c r="E13" s="23" t="s">
        <v>108</v>
      </c>
      <c r="F13" s="23" t="s">
        <v>67</v>
      </c>
      <c r="G13" s="23" t="s">
        <v>122</v>
      </c>
      <c r="H13" s="23" t="s">
        <v>123</v>
      </c>
      <c r="I13" s="23" t="s">
        <v>124</v>
      </c>
      <c r="J13" s="22" t="s">
        <v>118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 spans="1:43">
      <c r="A14" s="7">
        <v>1</v>
      </c>
      <c r="B14" s="24">
        <v>35</v>
      </c>
      <c r="C14" s="25">
        <v>0.19900000000000001</v>
      </c>
      <c r="D14" s="25">
        <v>1E-4</v>
      </c>
      <c r="E14" s="25">
        <v>1.69</v>
      </c>
      <c r="F14" s="25">
        <v>0.45700000000000002</v>
      </c>
      <c r="G14" s="26">
        <v>0.4</v>
      </c>
      <c r="H14">
        <v>9.3699999999999992</v>
      </c>
      <c r="I14">
        <v>0.05</v>
      </c>
      <c r="J14">
        <v>1.1499999999999999</v>
      </c>
      <c r="K14">
        <v>0.61538499999999996</v>
      </c>
      <c r="L14">
        <v>0.4</v>
      </c>
      <c r="M14">
        <v>1.5</v>
      </c>
      <c r="N14">
        <v>3.5000000000000003E-2</v>
      </c>
      <c r="O14">
        <v>31</v>
      </c>
      <c r="P14">
        <v>0</v>
      </c>
      <c r="Q14">
        <v>0.01</v>
      </c>
      <c r="R14" s="7">
        <v>1</v>
      </c>
      <c r="S14" s="7">
        <v>0.02</v>
      </c>
      <c r="T14" s="7">
        <v>10</v>
      </c>
      <c r="U14" s="7">
        <v>-10</v>
      </c>
      <c r="V14" s="7">
        <v>1</v>
      </c>
      <c r="W14" s="7">
        <v>0.78500000000000003</v>
      </c>
      <c r="X14" s="7">
        <v>3.9266999999999999</v>
      </c>
      <c r="Y14" s="7">
        <v>7.0000000000000007E-2</v>
      </c>
      <c r="Z14" s="7">
        <v>5.2355999999999998</v>
      </c>
      <c r="AA14" s="7">
        <v>0.91</v>
      </c>
      <c r="AB14" s="7">
        <v>0.03</v>
      </c>
      <c r="AC14" s="7">
        <v>1</v>
      </c>
      <c r="AD14" s="7">
        <v>200</v>
      </c>
      <c r="AE14" s="7">
        <v>50</v>
      </c>
      <c r="AF14" s="7">
        <v>50</v>
      </c>
      <c r="AG14" s="7">
        <v>0.01</v>
      </c>
      <c r="AH14" s="7">
        <v>20</v>
      </c>
      <c r="AI14" s="7">
        <v>15</v>
      </c>
      <c r="AJ14" s="7">
        <v>0.15</v>
      </c>
      <c r="AK14" s="7">
        <v>0.04</v>
      </c>
      <c r="AL14" s="7">
        <v>0.15</v>
      </c>
      <c r="AM14" s="7">
        <v>0.04</v>
      </c>
      <c r="AN14" s="7">
        <v>0.15</v>
      </c>
      <c r="AO14" s="7">
        <v>0.04</v>
      </c>
      <c r="AP14" s="7">
        <v>0.2</v>
      </c>
      <c r="AQ14" s="7">
        <v>-0.05</v>
      </c>
    </row>
    <row r="15" spans="1:43">
      <c r="A15" s="7">
        <v>2</v>
      </c>
      <c r="B15" s="24">
        <v>35</v>
      </c>
      <c r="C15" s="25">
        <v>0.29499999999999998</v>
      </c>
      <c r="D15" s="25">
        <v>0.01</v>
      </c>
      <c r="E15" s="25">
        <v>2.62</v>
      </c>
      <c r="F15" s="25">
        <v>0.436</v>
      </c>
      <c r="G15" s="26">
        <v>0.35</v>
      </c>
      <c r="H15">
        <v>5.69</v>
      </c>
      <c r="I15">
        <v>0.05</v>
      </c>
      <c r="J15">
        <v>2.58</v>
      </c>
      <c r="K15">
        <v>0.58571399999999996</v>
      </c>
      <c r="L15">
        <v>0.35</v>
      </c>
      <c r="M15">
        <v>1.5</v>
      </c>
      <c r="N15">
        <v>3.5000000000000003E-2</v>
      </c>
      <c r="O15">
        <v>28.6</v>
      </c>
      <c r="P15">
        <v>0</v>
      </c>
      <c r="Q15">
        <v>0.01</v>
      </c>
      <c r="R15" s="7">
        <v>1</v>
      </c>
      <c r="S15" s="7">
        <v>0.02</v>
      </c>
      <c r="T15" s="7">
        <v>10</v>
      </c>
      <c r="U15" s="7">
        <v>-10</v>
      </c>
      <c r="V15" s="7">
        <v>1</v>
      </c>
      <c r="W15" s="7">
        <v>0.78500000000000003</v>
      </c>
      <c r="X15" s="7">
        <v>3.9266999999999999</v>
      </c>
      <c r="Y15" s="7">
        <v>7.0000000000000007E-2</v>
      </c>
      <c r="Z15" s="7">
        <v>5.2355999999999998</v>
      </c>
      <c r="AA15" s="7">
        <v>0.91</v>
      </c>
      <c r="AB15" s="7">
        <v>0.03</v>
      </c>
      <c r="AC15" s="7">
        <v>1</v>
      </c>
      <c r="AD15" s="7">
        <v>200</v>
      </c>
      <c r="AE15" s="7">
        <v>50</v>
      </c>
      <c r="AF15" s="7">
        <v>50</v>
      </c>
      <c r="AG15" s="7">
        <v>0.01</v>
      </c>
      <c r="AH15" s="7">
        <v>20</v>
      </c>
      <c r="AI15" s="7">
        <v>15</v>
      </c>
      <c r="AJ15" s="7">
        <v>0.15</v>
      </c>
      <c r="AK15" s="7">
        <v>0.04</v>
      </c>
      <c r="AL15" s="7">
        <v>0.15</v>
      </c>
      <c r="AM15" s="7">
        <v>0.04</v>
      </c>
      <c r="AN15" s="7">
        <v>0.15</v>
      </c>
      <c r="AO15" s="7">
        <v>0.04</v>
      </c>
      <c r="AP15" s="7">
        <v>0.2</v>
      </c>
      <c r="AQ15" s="7">
        <v>-0.05</v>
      </c>
    </row>
    <row r="16" spans="1:43">
      <c r="A16" s="7">
        <v>3</v>
      </c>
      <c r="B16" s="27">
        <v>18</v>
      </c>
      <c r="C16" s="28">
        <v>2.5</v>
      </c>
      <c r="D16" s="28">
        <v>1.25</v>
      </c>
      <c r="E16" s="28">
        <v>0.03</v>
      </c>
      <c r="F16" s="28">
        <v>0.01</v>
      </c>
      <c r="G16" s="28">
        <v>20</v>
      </c>
      <c r="H16" s="28">
        <v>20</v>
      </c>
      <c r="I16" s="28">
        <v>400</v>
      </c>
      <c r="J16" s="23">
        <v>1</v>
      </c>
    </row>
    <row r="17" spans="1:43">
      <c r="A17" s="7">
        <v>4</v>
      </c>
      <c r="B17">
        <v>100</v>
      </c>
    </row>
    <row r="18" spans="1:43">
      <c r="A18" s="7">
        <v>5</v>
      </c>
      <c r="B18">
        <v>100</v>
      </c>
    </row>
    <row r="19" spans="1:43">
      <c r="A19" s="7">
        <v>6</v>
      </c>
      <c r="B19" s="29">
        <v>28</v>
      </c>
      <c r="C19" s="18">
        <v>0.1</v>
      </c>
      <c r="D19" s="18">
        <v>0.02</v>
      </c>
      <c r="E19" s="18">
        <v>0.01</v>
      </c>
      <c r="F19" s="18">
        <v>0.02</v>
      </c>
      <c r="G19" s="18">
        <v>4.0000000000000001E-3</v>
      </c>
      <c r="H19" s="18">
        <v>1E-3</v>
      </c>
      <c r="I19" s="18">
        <v>1E-3</v>
      </c>
      <c r="J19" s="18">
        <v>10</v>
      </c>
      <c r="K19" s="18">
        <v>150</v>
      </c>
      <c r="L19" s="18">
        <v>900</v>
      </c>
      <c r="M19" s="18">
        <v>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7">
        <v>7</v>
      </c>
      <c r="B20">
        <v>100</v>
      </c>
    </row>
    <row r="21" spans="1:43">
      <c r="A21" s="7">
        <v>8</v>
      </c>
      <c r="B21" s="27">
        <v>18</v>
      </c>
      <c r="C21" s="28">
        <v>2.5</v>
      </c>
      <c r="D21" s="28">
        <v>1.25</v>
      </c>
      <c r="E21" s="28">
        <v>0.03</v>
      </c>
      <c r="F21" s="28">
        <v>0.01</v>
      </c>
      <c r="G21" s="28">
        <v>20</v>
      </c>
      <c r="H21" s="28">
        <v>20</v>
      </c>
      <c r="I21" s="28">
        <v>1500</v>
      </c>
      <c r="J21" s="23">
        <v>1</v>
      </c>
    </row>
    <row r="22" spans="1:43">
      <c r="A22" s="7">
        <v>9</v>
      </c>
      <c r="B22">
        <v>100</v>
      </c>
    </row>
    <row r="23" spans="1:43">
      <c r="A23" s="7">
        <v>10</v>
      </c>
      <c r="B23">
        <v>100</v>
      </c>
    </row>
    <row r="24" spans="1:43">
      <c r="A24" s="7">
        <v>11</v>
      </c>
      <c r="B24">
        <v>100</v>
      </c>
    </row>
    <row r="25" spans="1:43">
      <c r="A25" s="7">
        <v>12</v>
      </c>
      <c r="B25" s="27">
        <v>18</v>
      </c>
      <c r="C25" s="28">
        <v>2.5</v>
      </c>
      <c r="D25" s="28">
        <v>1.25</v>
      </c>
      <c r="E25" s="28">
        <v>0.03</v>
      </c>
      <c r="F25" s="28">
        <v>0.01</v>
      </c>
      <c r="G25" s="28">
        <v>20</v>
      </c>
      <c r="H25" s="28">
        <v>30</v>
      </c>
      <c r="I25" s="28">
        <v>500</v>
      </c>
      <c r="J25" s="23">
        <v>1</v>
      </c>
    </row>
    <row r="26" spans="1:43">
      <c r="A26" s="7">
        <v>13</v>
      </c>
      <c r="B26">
        <v>100</v>
      </c>
    </row>
    <row r="27" spans="1:43">
      <c r="A27" s="7">
        <v>14</v>
      </c>
      <c r="B27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E28" sqref="E28"/>
    </sheetView>
  </sheetViews>
  <sheetFormatPr defaultRowHeight="15"/>
  <cols>
    <col min="5" max="5" width="10.140625" bestFit="1" customWidth="1"/>
    <col min="7" max="7" width="15.570312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41</v>
      </c>
    </row>
    <row r="5" spans="1:7">
      <c r="A5" s="3" t="s">
        <v>34</v>
      </c>
      <c r="B5" s="3" t="s">
        <v>35</v>
      </c>
      <c r="C5" s="3" t="s">
        <v>0</v>
      </c>
      <c r="D5" s="3" t="s">
        <v>9</v>
      </c>
      <c r="E5" s="3" t="s">
        <v>39</v>
      </c>
      <c r="F5" s="3" t="s">
        <v>3</v>
      </c>
      <c r="G5" s="3" t="s">
        <v>42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46</v>
      </c>
      <c r="D26" t="s">
        <v>46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34</v>
      </c>
      <c r="B2" s="3" t="s">
        <v>35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L24" sqref="L24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85546875" customWidth="1"/>
  </cols>
  <sheetData>
    <row r="1" spans="1:2">
      <c r="A1" s="3" t="s">
        <v>10</v>
      </c>
    </row>
    <row r="2" spans="1:2">
      <c r="A2" s="5" t="s">
        <v>6</v>
      </c>
      <c r="B2" s="1">
        <f>100000</f>
        <v>100000</v>
      </c>
    </row>
    <row r="3" spans="1:2">
      <c r="A3" t="s">
        <v>28</v>
      </c>
      <c r="B3" s="2">
        <v>60</v>
      </c>
    </row>
    <row r="4" spans="1:2">
      <c r="A4" t="s">
        <v>29</v>
      </c>
      <c r="B4">
        <v>1</v>
      </c>
    </row>
    <row r="5" spans="1:2">
      <c r="A5" t="s">
        <v>30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I13" sqref="I13"/>
    </sheetView>
  </sheetViews>
  <sheetFormatPr defaultRowHeight="15"/>
  <cols>
    <col min="1" max="1" width="30.140625" customWidth="1"/>
  </cols>
  <sheetData>
    <row r="1" spans="1:3">
      <c r="A1" s="3" t="s">
        <v>18</v>
      </c>
    </row>
    <row r="2" spans="1:3">
      <c r="A2" s="3" t="s">
        <v>37</v>
      </c>
      <c r="B2" s="3" t="s">
        <v>38</v>
      </c>
      <c r="C2" s="3"/>
    </row>
    <row r="3" spans="1:3">
      <c r="A3" t="s">
        <v>24</v>
      </c>
      <c r="B3">
        <v>2</v>
      </c>
    </row>
    <row r="4" spans="1:3">
      <c r="A4" t="s">
        <v>25</v>
      </c>
      <c r="B4">
        <v>1</v>
      </c>
    </row>
    <row r="5" spans="1:3">
      <c r="A5" t="s">
        <v>23</v>
      </c>
      <c r="B5">
        <v>1</v>
      </c>
    </row>
    <row r="6" spans="1:3">
      <c r="A6" t="s">
        <v>26</v>
      </c>
      <c r="B6">
        <v>0</v>
      </c>
    </row>
    <row r="7" spans="1:3">
      <c r="A7" t="s">
        <v>27</v>
      </c>
      <c r="B7">
        <v>2</v>
      </c>
    </row>
    <row r="8" spans="1:3">
      <c r="A8" t="s">
        <v>19</v>
      </c>
      <c r="B8">
        <v>0</v>
      </c>
    </row>
    <row r="9" spans="1:3">
      <c r="A9" t="s">
        <v>20</v>
      </c>
      <c r="B9">
        <v>1</v>
      </c>
    </row>
    <row r="10" spans="1:3">
      <c r="A10" t="s">
        <v>21</v>
      </c>
      <c r="B10">
        <v>1</v>
      </c>
    </row>
    <row r="11" spans="1:3">
      <c r="A11" t="s">
        <v>22</v>
      </c>
      <c r="B11">
        <v>1</v>
      </c>
    </row>
    <row r="12" spans="1:3">
      <c r="A12" t="s">
        <v>40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Ruiting Xu</cp:lastModifiedBy>
  <dcterms:created xsi:type="dcterms:W3CDTF">2015-06-05T18:17:20Z</dcterms:created>
  <dcterms:modified xsi:type="dcterms:W3CDTF">2026-05-03T22:10:53Z</dcterms:modified>
</cp:coreProperties>
</file>